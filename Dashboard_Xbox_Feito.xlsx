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992c434d940fa3/Cursos e Outros/Cursos DIO/Bootcamp Satander Excel IA e Claude/Projeto XBox/"/>
    </mc:Choice>
  </mc:AlternateContent>
  <xr:revisionPtr revIDLastSave="556" documentId="8_{22A6B749-8356-4C49-B627-0B2685363C91}" xr6:coauthVersionLast="47" xr6:coauthVersionMax="47" xr10:uidLastSave="{9117849D-704A-4E08-9544-40C4549CA911}"/>
  <bookViews>
    <workbookView xWindow="-80" yWindow="-80" windowWidth="19360" windowHeight="11440" tabRatio="13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3" l="1"/>
  <c r="D31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<sst xmlns="http://schemas.openxmlformats.org/spreadsheetml/2006/main" count="2022" uniqueCount="324">
  <si>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</si>
  <si>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</si>
  <si>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</si>
  <si>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</si>
  <si>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</si>
  <si>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</si>
  <si>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</si>
  <si>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</si>
  <si>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</si>
  <si>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</si>
  <si>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</si>
  <si>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</si>
  <si>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</si>
  <si>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</si>
  <si>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</si>
  <si>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</si>
  <si>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</si>
  <si>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</si>
  <si>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</si>
  <si>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</si>
  <si>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</si>
  <si>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</si>
  <si>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</si>
  <si>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</si>
  <si>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</si>
  <si>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</si>
  <si>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</si>
  <si>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</si>
  <si>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</si>
  <si>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</si>
  <si>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</si>
  <si>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</si>
  <si>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</si>
  <si>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</si>
  <si>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</si>
  <si>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</si>
  <si>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</si>
  <si>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</si>
  <si>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</si>
  <si>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</si>
  <si>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</si>
  <si>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</si>
  <si>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</si>
  <si>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</si>
  <si>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</si>
  <si>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</si>
  <si>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</si>
  <si>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</si>
  <si>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</si>
  <si>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</si>
  <si>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</si>
  <si>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</si>
  <si>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</si>
  <si>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</si>
  <si>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</si>
  <si>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</si>
  <si>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</si>
  <si>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</si>
  <si>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</si>
  <si>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</si>
  <si>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</si>
  <si>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</si>
  <si>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</si>
  <si>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</si>
  <si>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</si>
  <si>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</si>
  <si>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</si>
  <si>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</si>
  <si>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</si>
  <si>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</si>
  <si>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</si>
  <si>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</si>
  <si>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</si>
  <si>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</si>
  <si>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</si>
  <si>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</si>
  <si>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</si>
  <si>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</si>
  <si>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</si>
  <si>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</si>
  <si>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</si>
  <si>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</si>
  <si>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</si>
  <si>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</si>
  <si>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</si>
  <si>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</si>
  <si>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</si>
  <si>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</si>
  <si>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</si>
  <si>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</si>
  <si>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</si>
  <si>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</si>
  <si>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</si>
  <si>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</si>
  <si>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</si>
  <si>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</si>
  <si>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</si>
  <si>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</si>
  <si>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</si>
  <si>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</si>
  <si>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</si>
  <si>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</si>
  <si>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</si>
  <si>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</si>
  <si>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</si>
  <si>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</si>
  <si>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</si>
  <si>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</si>
  <si>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</si>
  <si>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</si>
  <si>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</si>
  <si>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</si>
  <si>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</si>
  <si>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</si>
  <si>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</si>
  <si>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</si>
  <si>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</si>
  <si>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</si>
  <si>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</si>
  <si>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</si>
  <si>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</si>
  <si>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</si>
  <si>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</si>
  <si>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</si>
  <si>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</si>
  <si>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</si>
  <si>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</si>
  <si>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</si>
  <si>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</si>
  <si>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</si>
  <si>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</si>
  <si>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</si>
  <si>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</si>
  <si>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</si>
  <si>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</si>
  <si>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</si>
  <si>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</si>
  <si>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</si>
  <si>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</si>
  <si>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</si>
  <si>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</si>
  <si>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</si>
  <si>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</si>
  <si>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</si>
  <si>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</si>
  <si>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</si>
  <si>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</si>
  <si>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</si>
  <si>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</si>
  <si>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</si>
  <si>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</si>
  <si>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</si>
  <si>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</si>
  <si>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</si>
  <si>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</si>
  <si>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</si>
  <si>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</si>
  <si>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</si>
  <si>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</si>
  <si>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</si>
  <si>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</si>
  <si>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</si>
  <si>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</si>
  <si>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</si>
  <si>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</si>
  <si>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</si>
  <si>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</si>
  <si>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</si>
  <si>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</si>
  <si>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</si>
  <si>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</si>
  <si>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</si>
  <si>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</si>
  <si>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</si>
  <si>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</si>
  <si>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</si>
  <si>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</si>
  <si>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</si>
  <si>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</si>
  <si>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</si>
  <si>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</si>
  <si>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</si>
  <si>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</si>
  <si>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</si>
  <si>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</si>
  <si>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</si>
  <si>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</si>
  <si>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</si>
  <si>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</si>
  <si>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</si>
  <si>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</si>
  <si>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</si>
  <si>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</si>
  <si>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</si>
  <si>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</si>
  <si>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</si>
  <si>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</si>
  <si>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</si>
  <si>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</si>
  <si>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</si>
  <si>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</si>
  <si>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</si>
  <si>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</si>
  <si>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</si>
  <si>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</si>
  <si>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</si>
  <si>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</si>
  <si>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</si>
  <si>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</si>
  <si>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</si>
  <si>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</si>
  <si>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</si>
  <si>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</si>
  <si>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</si>
  <si>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</si>
  <si>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</si>
  <si>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</si>
  <si>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</si>
  <si>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</si>
  <si>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</si>
  <si>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</si>
  <si>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</si>
  <si>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</si>
  <si>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</si>
  <si>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</si>
  <si>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</si>
  <si>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</si>
  <si>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</si>
  <si>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</si>
  <si>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</si>
  <si>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</si>
  <si>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</si>
  <si>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</si>
  <si>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</si>
  <si>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</si>
  <si>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</si>
  <si>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</si>
  <si>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</si>
  <si>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</si>
  <si>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</si>
  <si>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</si>
  <si>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</si>
  <si>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</si>
  <si>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</si>
  <si>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</si>
  <si>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</si>
  <si>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</si>
  <si>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</si>
  <si>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</si>
  <si>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</si>
  <si>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</si>
  <si>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</si>
  <si>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</si>
  <si>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</si>
  <si>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</si>
  <si>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</si>
  <si>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</si>
  <si>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</si>
  <si>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</si>
  <si>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</si>
  <si>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</si>
  <si>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</si>
  <si>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</si>
  <si>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</si>
  <si>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</si>
  <si>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</si>
  <si>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</si>
  <si>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</si>
  <si>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</si>
  <si>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</si>
  <si>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</si>
  <si>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</si>
  <si>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</si>
  <si>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</si>
  <si>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</si>
  <si>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</si>
  <si>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</si>
  <si>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</si>
  <si>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</si>
  <si>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</si>
  <si>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</si>
  <si>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</si>
  <si>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</si>
  <si>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</si>
  <si>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</si>
  <si>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</si>
  <si>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</si>
  <si>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</si>
  <si>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</si>
  <si>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</si>
  <si>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</si>
  <si>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</si>
  <si>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</si>
  <si>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</si>
  <si>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</si>
  <si>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</si>
  <si>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</si>
  <si>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</si>
  <si>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</si>
  <si>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</si>
  <si>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</si>
  <si>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</si>
  <si>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</si>
  <si>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</si>
  <si>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</si>
  <si>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</si>
  <si>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</si>
  <si>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</si>
  <si>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</si>
  <si>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</si>
  <si>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</si>
  <si>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</si>
  <si>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</si>
  <si>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XBOX GAME PASS SUBSCRIPTIONS SALES</t>
  </si>
  <si>
    <t>É uma pergunta de negócio respondida através de alguma análise de dado específica</t>
  </si>
  <si>
    <t>Pergunta de Negócio 1 - Qual faturamento Total de vendas de planos anuais (contendo todas as assinaturas agregadas)</t>
  </si>
  <si>
    <t>Pergunta de Negócio 2 - Qual Faturamento Total de vendas de planos anuais, separado por auto renovação não é por auto renovação</t>
  </si>
  <si>
    <t>Total Geral</t>
  </si>
  <si>
    <t>Rótulos de Linha</t>
  </si>
  <si>
    <t>Soma de Total Value</t>
  </si>
  <si>
    <t>Pergunta de Negócio 3 - Total de Vendas EA Play</t>
  </si>
  <si>
    <t>Soma de EA Play Season Pass</t>
  </si>
  <si>
    <t>Soma de Minecraft Season Pass Price</t>
  </si>
  <si>
    <t>Pergunta de Negócio 3 - Total de Subscription 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</si>
</sst>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9BC848"/>
      <name val="Source Sans Pro SemiBold"/>
      <family val="2"/>
    </font>
    <font>
      <b/>
      <sz val="36"/>
      <color rgb="FF9BC848"/>
      <name val="Source Sans Pro SemiBold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0" fillId="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4" fillId="9" borderId="2" xfId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3" borderId="0" xfId="0" applyFont="1" applyFill="1"/>
    <xf numFmtId="0" fontId="0" fillId="0" borderId="0" xfId="0" applyNumberFormat="1"/>
    <xf numFmtId="44" fontId="0" fillId="0" borderId="0" xfId="2" applyFont="1"/>
    <xf numFmtId="0" fontId="0" fillId="9" borderId="3" xfId="0" applyFill="1" applyBorder="1"/>
    <xf numFmtId="0" fontId="0" fillId="9" borderId="3" xfId="0" applyFill="1" applyBorder="1" applyAlignment="1">
      <alignment vertical="center"/>
    </xf>
    <xf numFmtId="0" fontId="0" fillId="8" borderId="3" xfId="0" applyFill="1" applyBorder="1"/>
    <xf numFmtId="0" fontId="5" fillId="9" borderId="2" xfId="1" applyFont="1" applyFill="1" applyBorder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20">
    <dxf>
      <font>
        <b/>
        <i val="0"/>
      </font>
    </dxf>
    <dxf>
      <font>
        <b val="0"/>
        <i val="0"/>
        <sz val="18"/>
        <color theme="0"/>
        <name val="Segoe UI Black"/>
        <family val="2"/>
        <scheme val="none"/>
      </font>
      <fill>
        <patternFill>
          <bgColor rgb="FF9BC848"/>
        </patternFill>
      </fill>
    </dxf>
    <dxf>
      <fill>
        <patternFill>
          <bgColor rgb="FF9BC848"/>
        </patternFill>
      </fill>
    </dxf>
    <dxf>
      <fill>
        <patternFill>
          <fgColor rgb="FF9BC848"/>
        </patternFill>
      </fill>
    </dxf>
    <dxf>
      <fill>
        <patternFill>
          <fgColor rgb="FF9BC848"/>
        </patternFill>
      </fill>
    </dxf>
    <dxf>
      <fill>
        <patternFill>
          <fgColor rgb="FF9BC848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5" defaultTableStyle="TableStyleMedium2" defaultPivotStyle="PivotStyleLight16">
    <tableStyle name="Estilo de Segmentação de Dados 1" pivot="0" table="0" count="1" xr9:uid="{F34D0A1D-E57A-422E-A7E0-644D3E6E5B3D}">
      <tableStyleElement type="wholeTable" dxfId="5"/>
    </tableStyle>
    <tableStyle name="Estilo de Segmentação de Dados 2" pivot="0" table="0" count="1" xr9:uid="{38818BE6-0177-4CB3-9CEC-D4CFFE737F24}">
      <tableStyleElement type="wholeTable" dxfId="4"/>
    </tableStyle>
    <tableStyle name="Estilo de Segmentação de Dados 3" pivot="0" table="0" count="1" xr9:uid="{0903CC75-787E-4942-9D4E-9250AA60BDFB}">
      <tableStyleElement type="headerRow" dxfId="3"/>
    </tableStyle>
    <tableStyle name="Estilo de Segmentação de Dados 4" pivot="0" table="0" count="1" xr9:uid="{441A215F-A7DA-4445-80ED-197D583CBDEC}">
      <tableStyleElement type="wholeTable" dxfId="2"/>
    </tableStyle>
    <tableStyle name="Estilo de Segmentação de Dados 5" pivot="0" table="0" count="4" xr9:uid="{29B3CF1B-5512-4867-B3A2-7475A18CAE5D}">
      <tableStyleElement type="wholeTable" dxfId="1"/>
      <tableStyleElement type="headerRow" dxfId="0"/>
    </tableStyle>
  </tableStyles>
  <colors>
    <mruColors>
      <color rgb="FF9BC848"/>
      <color rgb="FFF7F8FC"/>
      <color rgb="FF2AE6B1"/>
      <color rgb="FFFFFFFF"/>
      <color rgb="FF22C55E"/>
      <color rgb="FFE0E0E0"/>
      <color rgb="FFE8E6E9"/>
      <color rgb="FF5BF6A8"/>
      <color rgb="FF000000"/>
      <color rgb="FFEDEDED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</font>
          <fill>
            <patternFill>
              <bgColor theme="0" tint="-0.34998626667073579"/>
            </patternFill>
          </fill>
        </dxf>
        <dxf>
          <font>
            <b/>
            <i val="0"/>
            <color theme="1"/>
          </font>
          <fill>
            <patternFill>
              <bgColor theme="0"/>
            </patternFill>
          </fill>
        </dxf>
        <dxf>
          <font>
            <b/>
            <i val="0"/>
          </font>
          <fill>
            <patternFill>
              <bgColor theme="0" tint="-0.34998626667073579"/>
            </patternFill>
          </fill>
        </dxf>
        <dxf>
          <font>
            <b/>
            <i val="0"/>
          </font>
          <fill>
            <patternFill>
              <bgColor theme="0"/>
            </patternFill>
          </fill>
        </dxf>
        <dxf>
          <font>
            <b/>
            <i val="0"/>
          </font>
          <fill>
            <patternFill>
              <bgColor theme="0" tint="-0.34998626667073579"/>
            </patternFill>
          </fill>
        </dxf>
        <dxf>
          <font>
            <b/>
            <i val="0"/>
          </font>
          <fill>
            <patternFill>
              <bgColor theme="0"/>
            </patternFill>
          </fill>
        </dxf>
        <dxf>
          <fill>
            <patternFill>
              <bgColor theme="2"/>
            </patternFill>
          </fill>
        </dxf>
        <dxf>
          <fill>
            <patternFill>
              <bgColor rgb="FF2AE6B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[Dashboard_Xbox_Feito.xlsx]C̳álculos!TBD_Annual01</c:name>
    <c:fmtId val="0"/>
  </c:pivotSource>
  <c:chart>
    <c:autoTitleDeleted val="1"/>
    <c:pivotFmts>
      <c:pivotFmt>
        <c:idx val="0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458114610673667"/>
          <c:y val="0.14652340332458444"/>
          <c:w val="0.6439606299212598"/>
          <c:h val="0.746447579469233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C̳álculos!$B$15:$B$17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C̳álculos!$C$15:$C$17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9-43ED-9247-C9AD14B20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692173200"/>
        <c:axId val="172558223"/>
      </c:barChart>
      <c:catAx>
        <c:axId val="169217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558223"/>
        <c:crosses val="autoZero"/>
        <c:auto val="1"/>
        <c:lblAlgn val="ctr"/>
        <c:lblOffset val="100"/>
        <c:noMultiLvlLbl val="0"/>
      </c:catAx>
      <c:valAx>
        <c:axId val="1725582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9217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[Dashboard_Xbox_Feito.xlsx]C̳álculos!TBD_Annual01</c:name>
    <c:fmtId val="2"/>
  </c:pivotSource>
  <c:chart>
    <c:autoTitleDeleted val="1"/>
    <c:pivotFmts>
      <c:pivotFmt>
        <c:idx val="0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1571611432068"/>
          <c:y val="0.14652340332458444"/>
          <c:w val="0.81838453642533837"/>
          <c:h val="0.746447579469233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C̳álculos!$B$15:$B$17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C̳álculos!$C$15:$C$17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C-4112-A5B4-829C19DD8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axId val="1692173200"/>
        <c:axId val="172558223"/>
      </c:barChart>
      <c:catAx>
        <c:axId val="169217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72558223"/>
        <c:crosses val="autoZero"/>
        <c:auto val="1"/>
        <c:lblAlgn val="ctr"/>
        <c:lblOffset val="100"/>
        <c:noMultiLvlLbl val="0"/>
      </c:catAx>
      <c:valAx>
        <c:axId val="1725582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9217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12.png"/><Relationship Id="rId7" Type="http://schemas.openxmlformats.org/officeDocument/2006/relationships/image" Target="../media/image13.png"/><Relationship Id="rId2" Type="http://schemas.openxmlformats.org/officeDocument/2006/relationships/chart" Target="../charts/chart2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23</xdr:row>
      <xdr:rowOff>171450</xdr:rowOff>
    </xdr:from>
    <xdr:to>
      <xdr:col>3</xdr:col>
      <xdr:colOff>57150</xdr:colOff>
      <xdr:row>26</xdr:row>
      <xdr:rowOff>44451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831" b="32782"/>
        <a:stretch>
          <a:fillRect/>
        </a:stretch>
      </xdr:blipFill>
      <xdr:spPr>
        <a:xfrm>
          <a:off x="666750" y="4505325"/>
          <a:ext cx="1219200" cy="415926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4100" y="5172074"/>
          <a:ext cx="1552651" cy="71120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1174749</xdr:colOff>
      <xdr:row>7</xdr:row>
      <xdr:rowOff>53975</xdr:rowOff>
    </xdr:from>
    <xdr:to>
      <xdr:col>9</xdr:col>
      <xdr:colOff>447674</xdr:colOff>
      <xdr:row>21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F82F88-E5A8-973C-C8E4-071BB73D2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361950</xdr:colOff>
      <xdr:row>7</xdr:row>
      <xdr:rowOff>69850</xdr:rowOff>
    </xdr:from>
    <xdr:to>
      <xdr:col>5</xdr:col>
      <xdr:colOff>558800</xdr:colOff>
      <xdr:row>21</xdr:row>
      <xdr:rowOff>104772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C717CE94-6448-7186-ACF7-E1745A86C8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950" y="1358900"/>
              <a:ext cx="1828800" cy="2613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146048</xdr:colOff>
      <xdr:row>8</xdr:row>
      <xdr:rowOff>152400</xdr:rowOff>
    </xdr:from>
    <xdr:to>
      <xdr:col>0</xdr:col>
      <xdr:colOff>2895600</xdr:colOff>
      <xdr:row>25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63137D7C-8D7C-4A45-9671-639450E934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048" y="2120900"/>
              <a:ext cx="2749552" cy="30585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19050</xdr:colOff>
      <xdr:row>0</xdr:row>
      <xdr:rowOff>139700</xdr:rowOff>
    </xdr:from>
    <xdr:to>
      <xdr:col>4</xdr:col>
      <xdr:colOff>190500</xdr:colOff>
      <xdr:row>1</xdr:row>
      <xdr:rowOff>259435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8EB247D-5AC1-572B-2F41-DCAE6FE189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052"/>
        <a:stretch>
          <a:fillRect/>
        </a:stretch>
      </xdr:blipFill>
      <xdr:spPr>
        <a:xfrm>
          <a:off x="3276600" y="139700"/>
          <a:ext cx="781050" cy="729335"/>
        </a:xfrm>
        <a:prstGeom prst="rect">
          <a:avLst/>
        </a:prstGeom>
      </xdr:spPr>
    </xdr:pic>
    <xdr:clientData/>
  </xdr:twoCellAnchor>
  <xdr:twoCellAnchor>
    <xdr:from>
      <xdr:col>3</xdr:col>
      <xdr:colOff>16668</xdr:colOff>
      <xdr:row>6</xdr:row>
      <xdr:rowOff>113109</xdr:rowOff>
    </xdr:from>
    <xdr:to>
      <xdr:col>12</xdr:col>
      <xdr:colOff>4314031</xdr:colOff>
      <xdr:row>43</xdr:row>
      <xdr:rowOff>19049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A396D8CC-45A4-6EA1-2FA5-649099ACBDC3}"/>
            </a:ext>
          </a:extLst>
        </xdr:cNvPr>
        <xdr:cNvGrpSpPr/>
      </xdr:nvGrpSpPr>
      <xdr:grpSpPr>
        <a:xfrm>
          <a:off x="3202251" y="1478359"/>
          <a:ext cx="9663113" cy="6806273"/>
          <a:chOff x="2655093" y="1122759"/>
          <a:chExt cx="10215563" cy="718304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0A354052-E4CF-71C9-C9DF-D8A55CE4614D}"/>
              </a:ext>
            </a:extLst>
          </xdr:cNvPr>
          <xdr:cNvGrpSpPr/>
        </xdr:nvGrpSpPr>
        <xdr:grpSpPr>
          <a:xfrm>
            <a:off x="2857101" y="3886200"/>
            <a:ext cx="9811546" cy="4419599"/>
            <a:chOff x="2222499" y="839031"/>
            <a:chExt cx="5183187" cy="3283268"/>
          </a:xfrm>
          <a:solidFill>
            <a:srgbClr val="F7F8FC"/>
          </a:solidFill>
        </xdr:grpSpPr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8631AD7F-D311-75A4-CC63-9B601B5E8A61}"/>
                </a:ext>
              </a:extLst>
            </xdr:cNvPr>
            <xdr:cNvSpPr/>
          </xdr:nvSpPr>
          <xdr:spPr>
            <a:xfrm>
              <a:off x="2222499" y="896938"/>
              <a:ext cx="5183187" cy="3182937"/>
            </a:xfrm>
            <a:prstGeom prst="roundRect">
              <a:avLst>
                <a:gd name="adj" fmla="val 5196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9F40077-CD7C-4C8D-88FA-894C86C1955B}"/>
                </a:ext>
              </a:extLst>
            </xdr:cNvPr>
            <xdr:cNvGraphicFramePr>
              <a:graphicFrameLocks/>
            </xdr:cNvGraphicFramePr>
          </xdr:nvGraphicFramePr>
          <xdr:xfrm>
            <a:off x="2238000" y="839031"/>
            <a:ext cx="5152380" cy="328326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C1769AB4-2644-2947-0D8B-C74A53DAD28A}"/>
              </a:ext>
            </a:extLst>
          </xdr:cNvPr>
          <xdr:cNvGrpSpPr/>
        </xdr:nvGrpSpPr>
        <xdr:grpSpPr>
          <a:xfrm>
            <a:off x="2658268" y="1122759"/>
            <a:ext cx="10209213" cy="1573369"/>
            <a:chOff x="2658268" y="1122759"/>
            <a:chExt cx="10209213" cy="1573369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EF164693-A6A2-254F-C894-9AD31ED463C4}"/>
                </a:ext>
              </a:extLst>
            </xdr:cNvPr>
            <xdr:cNvGrpSpPr/>
          </xdr:nvGrpSpPr>
          <xdr:grpSpPr>
            <a:xfrm>
              <a:off x="2655093" y="1124424"/>
              <a:ext cx="4901406" cy="1573214"/>
              <a:chOff x="2733675" y="773906"/>
              <a:chExt cx="4882356" cy="1497014"/>
            </a:xfrm>
          </xdr:grpSpPr>
          <xdr:grpSp>
            <xdr:nvGrpSpPr>
              <xdr:cNvPr id="17" name="Agrupar 16">
                <a:extLst>
                  <a:ext uri="{FF2B5EF4-FFF2-40B4-BE49-F238E27FC236}">
                    <a16:creationId xmlns:a16="http://schemas.microsoft.com/office/drawing/2014/main" id="{F9B4CB39-D77C-CCE7-8675-F8B0F80637AF}"/>
                  </a:ext>
                </a:extLst>
              </xdr:cNvPr>
              <xdr:cNvGrpSpPr/>
            </xdr:nvGrpSpPr>
            <xdr:grpSpPr>
              <a:xfrm>
                <a:off x="2927350" y="1366838"/>
                <a:ext cx="4501356" cy="907257"/>
                <a:chOff x="2714626" y="1860550"/>
                <a:chExt cx="4491831" cy="913607"/>
              </a:xfrm>
            </xdr:grpSpPr>
            <xdr:sp macro="" textlink="C̳álculos!D31">
              <xdr:nvSpPr>
                <xdr:cNvPr id="14" name="Retângulo: Cantos Arredondados 13">
                  <a:extLst>
                    <a:ext uri="{FF2B5EF4-FFF2-40B4-BE49-F238E27FC236}">
                      <a16:creationId xmlns:a16="http://schemas.microsoft.com/office/drawing/2014/main" id="{D62B0462-6E68-E78F-A563-CED1AF149E55}"/>
                    </a:ext>
                  </a:extLst>
                </xdr:cNvPr>
                <xdr:cNvSpPr/>
              </xdr:nvSpPr>
              <xdr:spPr>
                <a:xfrm>
                  <a:off x="5063331" y="1860550"/>
                  <a:ext cx="2143126" cy="913607"/>
                </a:xfrm>
                <a:prstGeom prst="round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E7AFFAEC-26A6-4745-A23E-2F0C4DC92400}" type="TxLink">
                    <a:rPr lang="en-US" sz="2400" b="1" i="0" u="none" strike="noStrike">
                      <a:solidFill>
                        <a:srgbClr val="9BC848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pPr algn="ctr"/>
                    <a:t> R$ 990,00 </a:t>
                  </a:fld>
                  <a:endParaRPr lang="pt-BR" sz="2400" b="1">
                    <a:solidFill>
                      <a:srgbClr val="9BC848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pic>
              <xdr:nvPicPr>
                <xdr:cNvPr id="16" name="Imagem 15">
                  <a:extLst>
                    <a:ext uri="{FF2B5EF4-FFF2-40B4-BE49-F238E27FC236}">
                      <a16:creationId xmlns:a16="http://schemas.microsoft.com/office/drawing/2014/main" id="{F620003F-E58C-3B07-1596-A20A58B28FD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2714626" y="1949450"/>
                  <a:ext cx="2158212" cy="735806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18" name="Retângulo: Cantos Arredondados 17">
                <a:extLst>
                  <a:ext uri="{FF2B5EF4-FFF2-40B4-BE49-F238E27FC236}">
                    <a16:creationId xmlns:a16="http://schemas.microsoft.com/office/drawing/2014/main" id="{CF5EC54E-0239-C655-ECFF-2A2BF936AA45}"/>
                  </a:ext>
                </a:extLst>
              </xdr:cNvPr>
              <xdr:cNvSpPr/>
            </xdr:nvSpPr>
            <xdr:spPr>
              <a:xfrm>
                <a:off x="2733675" y="773906"/>
                <a:ext cx="4882356" cy="461169"/>
              </a:xfrm>
              <a:prstGeom prst="roundRect">
                <a:avLst/>
              </a:prstGeom>
              <a:solidFill>
                <a:srgbClr val="9BC84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Total de Subscription EAPlay Season Pass</a:t>
                </a:r>
              </a:p>
            </xdr:txBody>
          </xdr:sp>
        </xdr:grpSp>
        <xdr:grpSp>
          <xdr:nvGrpSpPr>
            <xdr:cNvPr id="29" name="Agrupar 28">
              <a:extLst>
                <a:ext uri="{FF2B5EF4-FFF2-40B4-BE49-F238E27FC236}">
                  <a16:creationId xmlns:a16="http://schemas.microsoft.com/office/drawing/2014/main" id="{DC5ACB40-AC3B-807B-9E20-3989A89814A5}"/>
                </a:ext>
              </a:extLst>
            </xdr:cNvPr>
            <xdr:cNvGrpSpPr/>
          </xdr:nvGrpSpPr>
          <xdr:grpSpPr>
            <a:xfrm>
              <a:off x="7962900" y="1122759"/>
              <a:ext cx="4907756" cy="1570194"/>
              <a:chOff x="8096250" y="779859"/>
              <a:chExt cx="4907756" cy="1570194"/>
            </a:xfrm>
          </xdr:grpSpPr>
          <xdr:sp macro="" textlink="">
            <xdr:nvSpPr>
              <xdr:cNvPr id="22" name="Retângulo: Cantos Arredondados 21">
                <a:extLst>
                  <a:ext uri="{FF2B5EF4-FFF2-40B4-BE49-F238E27FC236}">
                    <a16:creationId xmlns:a16="http://schemas.microsoft.com/office/drawing/2014/main" id="{EBA74094-D297-67FB-01F3-4EF2789C92B1}"/>
                  </a:ext>
                </a:extLst>
              </xdr:cNvPr>
              <xdr:cNvSpPr/>
            </xdr:nvSpPr>
            <xdr:spPr>
              <a:xfrm>
                <a:off x="8096250" y="779859"/>
                <a:ext cx="4907756" cy="489039"/>
              </a:xfrm>
              <a:prstGeom prst="roundRect">
                <a:avLst/>
              </a:prstGeom>
              <a:solidFill>
                <a:srgbClr val="9BC848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 b="1">
                    <a:solidFill>
                      <a:schemeClr val="bg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Total de Subscription EAPlay Season Pass</a:t>
                </a:r>
              </a:p>
            </xdr:txBody>
          </xdr:sp>
          <xdr:grpSp>
            <xdr:nvGrpSpPr>
              <xdr:cNvPr id="28" name="Agrupar 27">
                <a:extLst>
                  <a:ext uri="{FF2B5EF4-FFF2-40B4-BE49-F238E27FC236}">
                    <a16:creationId xmlns:a16="http://schemas.microsoft.com/office/drawing/2014/main" id="{EB276672-F199-E344-CDCC-DCE2B3A81D0F}"/>
                  </a:ext>
                </a:extLst>
              </xdr:cNvPr>
              <xdr:cNvGrpSpPr/>
            </xdr:nvGrpSpPr>
            <xdr:grpSpPr>
              <a:xfrm>
                <a:off x="8342799" y="1397285"/>
                <a:ext cx="4411483" cy="955943"/>
                <a:chOff x="8401050" y="1400460"/>
                <a:chExt cx="4408308" cy="949593"/>
              </a:xfrm>
            </xdr:grpSpPr>
            <xdr:sp macro="" textlink="C̳álculos!D42">
              <xdr:nvSpPr>
                <xdr:cNvPr id="23" name="Retângulo: Cantos Arredondados 22">
                  <a:extLst>
                    <a:ext uri="{FF2B5EF4-FFF2-40B4-BE49-F238E27FC236}">
                      <a16:creationId xmlns:a16="http://schemas.microsoft.com/office/drawing/2014/main" id="{8522082D-6242-30DD-39E0-2ED19512A135}"/>
                    </a:ext>
                  </a:extLst>
                </xdr:cNvPr>
                <xdr:cNvSpPr/>
              </xdr:nvSpPr>
              <xdr:spPr>
                <a:xfrm>
                  <a:off x="10656864" y="1400460"/>
                  <a:ext cx="2152494" cy="949593"/>
                </a:xfrm>
                <a:prstGeom prst="round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02FB1BAB-C8CB-45EC-9D4A-5E56E829F761}" type="TxLink">
                    <a:rPr lang="en-US" sz="2400" b="1" i="0" u="none" strike="noStrike">
                      <a:solidFill>
                        <a:srgbClr val="9BC848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 R$ 1.140,00 </a:t>
                  </a:fld>
                  <a:endParaRPr lang="pt-BR" sz="2400" b="1">
                    <a:solidFill>
                      <a:srgbClr val="9BC848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grpSp>
              <xdr:nvGrpSpPr>
                <xdr:cNvPr id="25" name="Agrupar 24">
                  <a:extLst>
                    <a:ext uri="{FF2B5EF4-FFF2-40B4-BE49-F238E27FC236}">
                      <a16:creationId xmlns:a16="http://schemas.microsoft.com/office/drawing/2014/main" id="{ECB4FDB5-DBDB-41EA-B8E3-4E9186C7B4D2}"/>
                    </a:ext>
                  </a:extLst>
                </xdr:cNvPr>
                <xdr:cNvGrpSpPr/>
              </xdr:nvGrpSpPr>
              <xdr:grpSpPr>
                <a:xfrm>
                  <a:off x="8401050" y="1511718"/>
                  <a:ext cx="1549476" cy="727076"/>
                  <a:chOff x="3495675" y="5400674"/>
                  <a:chExt cx="1549476" cy="752476"/>
                </a:xfrm>
              </xdr:grpSpPr>
              <xdr:pic>
                <xdr:nvPicPr>
                  <xdr:cNvPr id="26" name="Imagem 25">
                    <a:extLst>
                      <a:ext uri="{FF2B5EF4-FFF2-40B4-BE49-F238E27FC236}">
                        <a16:creationId xmlns:a16="http://schemas.microsoft.com/office/drawing/2014/main" id="{A48771BE-FFEC-537B-5BC2-7FD5D650869D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4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3998608" y="5400674"/>
                    <a:ext cx="555497" cy="609599"/>
                  </a:xfrm>
                  <a:prstGeom prst="rect">
                    <a:avLst/>
                  </a:prstGeom>
                </xdr:spPr>
              </xdr:pic>
              <xdr:pic>
                <xdr:nvPicPr>
                  <xdr:cNvPr id="27" name="Gráfico 26">
                    <a:extLst>
                      <a:ext uri="{FF2B5EF4-FFF2-40B4-BE49-F238E27FC236}">
                        <a16:creationId xmlns:a16="http://schemas.microsoft.com/office/drawing/2014/main" id="{92978BFC-448A-85AD-200B-E3A18D2AA153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5">
                    <a:extLst>
                      <a:ext uri="{96DAC541-7B7A-43D3-8B79-37D633B846F1}">
                        <asvg:svgBlip xmlns:asvg="http://schemas.microsoft.com/office/drawing/2016/SVG/main" r:embed="rId6"/>
                      </a:ext>
                    </a:extLst>
                  </a:blip>
                  <a:stretch>
                    <a:fillRect/>
                  </a:stretch>
                </xdr:blipFill>
                <xdr:spPr>
                  <a:xfrm>
                    <a:off x="3495675" y="5895937"/>
                    <a:ext cx="1549476" cy="257213"/>
                  </a:xfrm>
                  <a:prstGeom prst="rect">
                    <a:avLst/>
                  </a:prstGeom>
                </xdr:spPr>
              </xdr:pic>
            </xdr:grpSp>
          </xdr:grpSp>
        </xdr:grpSp>
      </xdr:grpSp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3247B2AB-2522-78A5-54D8-A7B41164CBB3}"/>
              </a:ext>
            </a:extLst>
          </xdr:cNvPr>
          <xdr:cNvSpPr/>
        </xdr:nvSpPr>
        <xdr:spPr>
          <a:xfrm>
            <a:off x="2666999" y="3219450"/>
            <a:ext cx="10191750" cy="666750"/>
          </a:xfrm>
          <a:prstGeom prst="roundRect">
            <a:avLst/>
          </a:prstGeom>
          <a:solidFill>
            <a:srgbClr val="9BC848"/>
          </a:solidFill>
          <a:ln>
            <a:noFill/>
          </a:ln>
        </xdr:spPr>
        <xdr:style>
          <a:lnRef idx="1">
            <a:schemeClr val="accent6"/>
          </a:lnRef>
          <a:fillRef idx="3">
            <a:schemeClr val="accent6"/>
          </a:fillRef>
          <a:effectRef idx="2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 XBOX Game Pass</a:t>
            </a:r>
            <a:endParaRPr lang="pt-BR" sz="2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612454</xdr:colOff>
      <xdr:row>0</xdr:row>
      <xdr:rowOff>209550</xdr:rowOff>
    </xdr:from>
    <xdr:to>
      <xdr:col>0</xdr:col>
      <xdr:colOff>1822129</xdr:colOff>
      <xdr:row>5</xdr:row>
      <xdr:rowOff>76200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73D99DDE-6807-CB41-47BA-5021E5A32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2454" y="209550"/>
          <a:ext cx="1206500" cy="114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590550</xdr:colOff>
      <xdr:row>6</xdr:row>
      <xdr:rowOff>19050</xdr:rowOff>
    </xdr:from>
    <xdr:to>
      <xdr:col>0</xdr:col>
      <xdr:colOff>1883404</xdr:colOff>
      <xdr:row>7</xdr:row>
      <xdr:rowOff>163500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7C865E33-8F59-0EC3-5123-8BE90572AB1E}"/>
            </a:ext>
          </a:extLst>
        </xdr:cNvPr>
        <xdr:cNvSpPr txBox="1"/>
      </xdr:nvSpPr>
      <xdr:spPr>
        <a:xfrm>
          <a:off x="590550" y="1428750"/>
          <a:ext cx="1292854" cy="569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8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Bianca</a:t>
          </a:r>
        </a:p>
      </xdr:txBody>
    </xdr:sp>
    <xdr:clientData/>
  </xdr:twoCellAnchor>
  <xdr:twoCellAnchor editAs="oneCell">
    <xdr:from>
      <xdr:col>0</xdr:col>
      <xdr:colOff>152400</xdr:colOff>
      <xdr:row>42</xdr:row>
      <xdr:rowOff>172657</xdr:rowOff>
    </xdr:from>
    <xdr:to>
      <xdr:col>0</xdr:col>
      <xdr:colOff>2819400</xdr:colOff>
      <xdr:row>49</xdr:row>
      <xdr:rowOff>47722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6FE36519-E726-6359-0D35-DDD71452E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668957"/>
          <a:ext cx="2667000" cy="120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2</xdr:row>
      <xdr:rowOff>95250</xdr:rowOff>
    </xdr:from>
    <xdr:to>
      <xdr:col>12</xdr:col>
      <xdr:colOff>4953000</xdr:colOff>
      <xdr:row>5</xdr:row>
      <xdr:rowOff>82652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580FC190-098D-4C6B-BDFF-EC59FCE531D2}"/>
            </a:ext>
          </a:extLst>
        </xdr:cNvPr>
        <xdr:cNvSpPr txBox="1"/>
      </xdr:nvSpPr>
      <xdr:spPr>
        <a:xfrm>
          <a:off x="3219450" y="990600"/>
          <a:ext cx="10248900" cy="3715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>
              <a:latin typeface="Segoe UI" panose="020B0502040204020203" pitchFamily="34" charset="0"/>
              <a:cs typeface="Segoe UI" panose="020B0502040204020203" pitchFamily="34" charset="0"/>
            </a:rPr>
            <a:t>Assessment Period: 2024 - Update Date and Time: 30/09/2026 - 19:17:53</a:t>
          </a:r>
          <a:endParaRPr lang="pt-BR" sz="1600" b="1">
            <a:solidFill>
              <a:sysClr val="windowText" lastClr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o Spinelli" refreshedDate="46295.614759259261" createdVersion="8" refreshedVersion="8" minRefreshableVersion="3" recordCount="295" xr:uid="{994A758C-FAC9-47E7-AFD4-B18B834A34F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715251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0D122-6E66-4907-BA3A-5B874E18FEE0}" name="Tabela dinâ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8:C4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B8845-EE44-4730-B6DB-A2C7FA99C52A}" name="Tabela dinâ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7:C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E50F3-A4C9-4E7A-B1D9-6E05B6E25730}" name="TBD_Annual0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4:C17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ACCD3FC-78B9-46B1-A907-1D038E2904EE}" sourceName="Subscription Type">
  <pivotTables>
    <pivotTable tabId="3" name="TBD_Annual01"/>
    <pivotTable tabId="3" name="Tabela dinâmica3"/>
    <pivotTable tabId="3" name="Tabela dinâmica5"/>
  </pivotTables>
  <data>
    <tabular pivotCacheId="107152519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4C86141-4727-4853-B22D-29D9064BE6B5}" cache="SegmentaçãodeDados_Subscription_Type" caption="Subscription Type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5102F4D-3C26-402A-8D4D-7469899A97F9}" cache="SegmentaçãodeDados_Subscription_Type" caption="Subscription Type" style="Estilo de Segmentação de Dados 5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8"/>
    <tableColumn id="2" xr3:uid="{53DD39D0-2220-4121-9E9D-4EAA7E151C0F}" name="Name" dataDxfId="17"/>
    <tableColumn id="3" xr3:uid="{4F5FF271-4C57-4BE0-8F2C-F82C8551625C}" name="Plan" dataDxfId="16"/>
    <tableColumn id="4" xr3:uid="{8C17EB93-79B9-4E55-B8F7-BEB82F8253E9}" name="Start Date" dataDxfId="15"/>
    <tableColumn id="5" xr3:uid="{48CEDF9B-1689-482A-A828-5CCE7713264A}" name="Auto Renewal" dataDxfId="14"/>
    <tableColumn id="6" xr3:uid="{78B82374-9AA7-4E38-AE4F-78CDE6C83720}" name="Subscription Price" dataDxfId="13" dataCellStyle="Moeda"/>
    <tableColumn id="7" xr3:uid="{F2433F68-AF33-49D0-B1FB-19A396074EDE}" name="Subscription Type" dataDxfId="12"/>
    <tableColumn id="8" xr3:uid="{FD4D9C95-F6E5-4933-9068-A71FF7DF9343}" name="EA Play Season Pass" dataDxfId="11"/>
    <tableColumn id="13" xr3:uid="{978DD0D2-834E-4CE4-A39B-30976086932F}" name="EA Play Season Pass_x000a_Price" dataDxfId="10" dataCellStyle="Moeda"/>
    <tableColumn id="9" xr3:uid="{6E29F111-C395-4580-9DAD-3407D9E8B1A4}" name="Minecraft Season Pass" dataDxfId="9"/>
    <tableColumn id="10" xr3:uid="{EF544EAA-7F25-4FD5-A10E-8E62804DB9E3}" name="Minecraft Season Pass Price" dataDxfId="8" dataCellStyle="Moeda"/>
    <tableColumn id="11" xr3:uid="{7F6EB64A-1F07-4E48-9F0F-AC7D9DCD26F8}" name="Coupon Value" dataDxfId="7" dataCellStyle="Moeda"/>
    <tableColumn id="12" xr3:uid="{2B04ABC8-DE6F-426E-ADC0-D8AFC68CA58E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29" sqref="D29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29" sqref="D29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42"/>
  <sheetViews>
    <sheetView showGridLines="0" topLeftCell="A16" workbookViewId="0">
      <selection activeCell="D29" sqref="D29"/>
    </sheetView>
  </sheetViews>
  <sheetFormatPr defaultRowHeight="14.5" x14ac:dyDescent="0.35"/>
  <cols>
    <col min="2" max="2" width="17.7265625" bestFit="1" customWidth="1"/>
    <col min="3" max="3" width="33.54296875" bestFit="1" customWidth="1"/>
    <col min="4" max="4" width="11.6328125" bestFit="1" customWidth="1"/>
    <col min="5" max="5" width="11.726562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7" x14ac:dyDescent="0.35">
      <c r="B3" s="20" t="s">
        <v>314</v>
      </c>
      <c r="C3" s="3"/>
      <c r="D3" s="3"/>
      <c r="E3" s="3"/>
      <c r="F3" s="3"/>
      <c r="G3" s="3"/>
    </row>
    <row r="5" spans="2:7" x14ac:dyDescent="0.35">
      <c r="B5" t="s">
        <v>315</v>
      </c>
    </row>
    <row r="6" spans="2:7" x14ac:dyDescent="0.35">
      <c r="B6" t="s">
        <v>316</v>
      </c>
    </row>
    <row r="12" spans="2:7" x14ac:dyDescent="0.35">
      <c r="B12" s="17" t="s">
        <v>16</v>
      </c>
      <c r="C12" t="s">
        <v>27</v>
      </c>
    </row>
    <row r="14" spans="2:7" x14ac:dyDescent="0.35">
      <c r="B14" s="17" t="s">
        <v>318</v>
      </c>
      <c r="C14" t="s">
        <v>319</v>
      </c>
    </row>
    <row r="15" spans="2:7" x14ac:dyDescent="0.35">
      <c r="B15" s="18" t="s">
        <v>23</v>
      </c>
      <c r="C15" s="19">
        <v>806</v>
      </c>
    </row>
    <row r="16" spans="2:7" x14ac:dyDescent="0.35">
      <c r="B16" s="18" t="s">
        <v>19</v>
      </c>
      <c r="C16" s="19">
        <v>1502</v>
      </c>
    </row>
    <row r="17" spans="2:4" x14ac:dyDescent="0.35">
      <c r="B17" s="18" t="s">
        <v>317</v>
      </c>
      <c r="C17" s="19">
        <v>2308</v>
      </c>
    </row>
    <row r="23" spans="2:4" x14ac:dyDescent="0.35">
      <c r="B23" t="s">
        <v>320</v>
      </c>
    </row>
    <row r="25" spans="2:4" x14ac:dyDescent="0.35">
      <c r="B25" s="17" t="s">
        <v>16</v>
      </c>
      <c r="C25" t="s">
        <v>27</v>
      </c>
    </row>
    <row r="27" spans="2:4" x14ac:dyDescent="0.35">
      <c r="B27" s="17" t="s">
        <v>318</v>
      </c>
      <c r="C27" t="s">
        <v>321</v>
      </c>
    </row>
    <row r="28" spans="2:4" x14ac:dyDescent="0.35">
      <c r="B28" s="18" t="s">
        <v>22</v>
      </c>
      <c r="C28" s="21">
        <v>0</v>
      </c>
    </row>
    <row r="29" spans="2:4" x14ac:dyDescent="0.35">
      <c r="B29" s="18" t="s">
        <v>26</v>
      </c>
      <c r="C29" s="21">
        <v>0</v>
      </c>
    </row>
    <row r="30" spans="2:4" x14ac:dyDescent="0.35">
      <c r="B30" s="18" t="s">
        <v>18</v>
      </c>
      <c r="C30" s="21">
        <v>990</v>
      </c>
    </row>
    <row r="31" spans="2:4" x14ac:dyDescent="0.35">
      <c r="B31" s="18" t="s">
        <v>317</v>
      </c>
      <c r="C31" s="21">
        <v>990</v>
      </c>
      <c r="D31" s="22">
        <f>GETPIVOTDATA("EA Play Season Pass
Price",$B$27)</f>
        <v>990</v>
      </c>
    </row>
    <row r="34" spans="2:4" x14ac:dyDescent="0.35">
      <c r="B34" t="s">
        <v>323</v>
      </c>
    </row>
    <row r="36" spans="2:4" x14ac:dyDescent="0.35">
      <c r="B36" s="17" t="s">
        <v>16</v>
      </c>
      <c r="C36" t="s">
        <v>27</v>
      </c>
    </row>
    <row r="38" spans="2:4" x14ac:dyDescent="0.35">
      <c r="B38" s="17" t="s">
        <v>318</v>
      </c>
      <c r="C38" t="s">
        <v>322</v>
      </c>
    </row>
    <row r="39" spans="2:4" x14ac:dyDescent="0.35">
      <c r="B39" s="18" t="s">
        <v>22</v>
      </c>
      <c r="C39" s="19">
        <v>0</v>
      </c>
    </row>
    <row r="40" spans="2:4" x14ac:dyDescent="0.35">
      <c r="B40" s="18" t="s">
        <v>26</v>
      </c>
      <c r="C40" s="19">
        <v>480</v>
      </c>
    </row>
    <row r="41" spans="2:4" x14ac:dyDescent="0.35">
      <c r="B41" s="18" t="s">
        <v>18</v>
      </c>
      <c r="C41" s="19">
        <v>660</v>
      </c>
    </row>
    <row r="42" spans="2:4" x14ac:dyDescent="0.35">
      <c r="B42" s="18" t="s">
        <v>317</v>
      </c>
      <c r="C42" s="19">
        <v>1140</v>
      </c>
      <c r="D42" s="22">
        <f>GETPIVOTDATA("Minecraft Season Pass Price",$B$38)</f>
        <v>1140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N50"/>
  <sheetViews>
    <sheetView showGridLines="0" showRowColHeaders="0" tabSelected="1" zoomScale="60" zoomScaleNormal="60" workbookViewId="0">
      <selection activeCell="A51" sqref="A51:XFD1048576"/>
    </sheetView>
  </sheetViews>
  <sheetFormatPr defaultColWidth="0" defaultRowHeight="14.5" zeroHeight="1" x14ac:dyDescent="0.35"/>
  <cols>
    <col min="1" max="1" width="42.81640625" style="3" customWidth="1"/>
    <col min="2" max="3" width="1.36328125" style="12" customWidth="1"/>
    <col min="4" max="11" width="8.7265625" style="12" customWidth="1"/>
    <col min="12" max="12" width="6.54296875" style="12" customWidth="1"/>
    <col min="13" max="13" width="71.7265625" style="12" customWidth="1"/>
    <col min="14" max="14" width="0" style="25" hidden="1"/>
    <col min="15" max="16384" width="8.7265625" style="12" hidden="1"/>
  </cols>
  <sheetData>
    <row r="1" spans="1:14" s="13" customFormat="1" ht="47" customHeight="1" x14ac:dyDescent="0.35">
      <c r="A1" s="3"/>
      <c r="N1" s="23"/>
    </row>
    <row r="2" spans="1:14" s="15" customFormat="1" ht="22.5" customHeight="1" thickBot="1" x14ac:dyDescent="0.4">
      <c r="A2" s="14"/>
      <c r="D2" s="16"/>
      <c r="E2" s="16"/>
      <c r="F2" s="26" t="s">
        <v>313</v>
      </c>
      <c r="G2" s="16"/>
      <c r="H2" s="16"/>
      <c r="I2" s="16"/>
      <c r="J2" s="16"/>
      <c r="K2" s="16"/>
      <c r="L2" s="16"/>
      <c r="M2" s="16"/>
      <c r="N2" s="24"/>
    </row>
    <row r="3" spans="1:14" s="13" customFormat="1" ht="11" customHeight="1" thickTop="1" x14ac:dyDescent="0.35">
      <c r="A3" s="3"/>
      <c r="N3" s="23"/>
    </row>
    <row r="4" spans="1:14" ht="7.5" customHeight="1" x14ac:dyDescent="0.35"/>
    <row r="5" spans="1:14" ht="10.5" customHeight="1" x14ac:dyDescent="0.35"/>
    <row r="6" spans="1:14" ht="9.75" customHeight="1" x14ac:dyDescent="0.35"/>
    <row r="7" spans="1:14" ht="33" customHeight="1" x14ac:dyDescent="0.35"/>
    <row r="8" spans="1:14" x14ac:dyDescent="0.35"/>
    <row r="9" spans="1:14" x14ac:dyDescent="0.35"/>
    <row r="10" spans="1:14" x14ac:dyDescent="0.35"/>
    <row r="11" spans="1:14" x14ac:dyDescent="0.35"/>
    <row r="12" spans="1:14" x14ac:dyDescent="0.35"/>
    <row r="13" spans="1:14" x14ac:dyDescent="0.35"/>
    <row r="14" spans="1:14" x14ac:dyDescent="0.35"/>
    <row r="15" spans="1:14" x14ac:dyDescent="0.35"/>
    <row r="16" spans="1:14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Lauro Spinelli</cp:lastModifiedBy>
  <dcterms:created xsi:type="dcterms:W3CDTF">2024-12-19T13:13:10Z</dcterms:created>
  <dcterms:modified xsi:type="dcterms:W3CDTF">2026-09-30T22:35:28Z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